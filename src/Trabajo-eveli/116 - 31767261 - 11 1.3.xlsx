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\Documents\UNI\Informática\"/>
    </mc:Choice>
  </mc:AlternateContent>
  <bookViews>
    <workbookView xWindow="0" yWindow="0" windowWidth="19200" windowHeight="8295"/>
  </bookViews>
  <sheets>
    <sheet name="Compra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" l="1"/>
  <c r="T14" i="2"/>
  <c r="Q14" i="2"/>
  <c r="O14" i="2"/>
  <c r="H9" i="2"/>
  <c r="Q9" i="2" l="1"/>
  <c r="T9" i="2"/>
  <c r="D23" i="2" l="1"/>
  <c r="D26" i="2" s="1"/>
  <c r="M14" i="2"/>
  <c r="L14" i="2"/>
  <c r="Q13" i="2"/>
  <c r="T13" i="2" s="1"/>
  <c r="Q12" i="2"/>
  <c r="T12" i="2" s="1"/>
  <c r="Q11" i="2"/>
  <c r="T11" i="2" s="1"/>
  <c r="Q10" i="2"/>
  <c r="T10" i="2" s="1"/>
  <c r="E23" i="2"/>
  <c r="E26" i="2" s="1"/>
  <c r="F26" i="2" l="1"/>
  <c r="H10" i="2"/>
  <c r="H12" i="2"/>
  <c r="H11" i="2"/>
  <c r="H13" i="2"/>
  <c r="H14" i="2" l="1"/>
</calcChain>
</file>

<file path=xl/sharedStrings.xml><?xml version="1.0" encoding="utf-8"?>
<sst xmlns="http://schemas.openxmlformats.org/spreadsheetml/2006/main" count="57" uniqueCount="50">
  <si>
    <t>NOTA DE DÉBITO</t>
  </si>
  <si>
    <t>BASE IMPONIBLE</t>
  </si>
  <si>
    <t>%</t>
  </si>
  <si>
    <t>IVA</t>
  </si>
  <si>
    <t>TOTAL COMPRAS INCLUYE IVA</t>
  </si>
  <si>
    <t>COMPRAS INTERNAS</t>
  </si>
  <si>
    <t>00000468</t>
  </si>
  <si>
    <t>20250332408</t>
  </si>
  <si>
    <t>00112629</t>
  </si>
  <si>
    <t>20250532631</t>
  </si>
  <si>
    <t>00080490</t>
  </si>
  <si>
    <t xml:space="preserve">COMPRESORES SERVICIOS C.A </t>
  </si>
  <si>
    <t>Atención:</t>
  </si>
  <si>
    <t>Dpto Impuestos</t>
  </si>
  <si>
    <t>Referencia:</t>
  </si>
  <si>
    <t>Libro de Compra</t>
  </si>
  <si>
    <t>COMPRAS DE IMPORTACION</t>
  </si>
  <si>
    <t xml:space="preserve">IVA RETENIDO POR EL PROVEEDOR </t>
  </si>
  <si>
    <t xml:space="preserve">FECHA </t>
  </si>
  <si>
    <t>Nº de Factura</t>
  </si>
  <si>
    <t>N° R.I.F.</t>
  </si>
  <si>
    <t>PLANILLA DE LIQUIDACION DE ARANCELES</t>
  </si>
  <si>
    <t>COMPRAS SIN DERECHO A CREDITO FISCAL</t>
  </si>
  <si>
    <t>COMPRAS NO SUJETAS</t>
  </si>
  <si>
    <t>Fecha del  Comprobante</t>
  </si>
  <si>
    <t>Nº de Comprobante</t>
  </si>
  <si>
    <t>J-09028821-0</t>
  </si>
  <si>
    <t xml:space="preserve">CORPORACION CELSIUS C.A </t>
  </si>
  <si>
    <t>J-29557414-2</t>
  </si>
  <si>
    <t xml:space="preserve">FERRETERIA EPA C.A </t>
  </si>
  <si>
    <t>J-00271144-2</t>
  </si>
  <si>
    <t>Total</t>
  </si>
  <si>
    <t xml:space="preserve"> </t>
  </si>
  <si>
    <t>RESUMEN DEL LIBRO DE COMPRAS</t>
  </si>
  <si>
    <t>BASE        IMPONIBLE</t>
  </si>
  <si>
    <t>CREDITO FISCAL</t>
  </si>
  <si>
    <t>Compras no gravadas y/o sin derecho a crédito fiscal</t>
  </si>
  <si>
    <t>Compras Importación gravadas por alícuota general</t>
  </si>
  <si>
    <t>Compras Importación gravadas por alícuota general más adicional</t>
  </si>
  <si>
    <t>Compras Importación gravadas por alícuota reducida</t>
  </si>
  <si>
    <t>Compras internas gravadas solo por alícuota general</t>
  </si>
  <si>
    <t>Compras internas gravadas por alícuota general más adicional</t>
  </si>
  <si>
    <t>Compras internas gravadas por alícuota reducida</t>
  </si>
  <si>
    <t>Total compras y créditos fiscales del Período</t>
  </si>
  <si>
    <t>N° NOTA DE CRÉDITO</t>
  </si>
  <si>
    <t xml:space="preserve">LIBRO DE COMPRAS </t>
  </si>
  <si>
    <t>N° FACTURA AFECTADA</t>
  </si>
  <si>
    <t>NOMBRE O RAZÓN SOCIAL</t>
  </si>
  <si>
    <t>I.V.A Retenido por el Proveedeor</t>
  </si>
  <si>
    <t>IVA RETENIDO POR EL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</si>
</sst>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0.0%"/>
    <numFmt numFmtId="165" formatCode="000000"/>
    <numFmt numFmtId="166" formatCode="_(* #,##0.00_);_(* \(#,##0.00\);_(* &quot;-&quot;??_);_(@_)"/>
    <numFmt numFmtId="167" formatCode="#,##0.00;[Red]#,##0.00"/>
    <numFmt numFmtId="168" formatCode="_-* #,##0.00_-;\-* #,##0.00_-;_-* &quot;-&quot;??_-;_-@_-"/>
    <numFmt numFmtId="169" formatCode="dd/mm/yyyy;@"/>
    <numFmt numFmtId="170" formatCode="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i/>
      <sz val="14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>
      <alignment vertical="top"/>
    </xf>
    <xf numFmtId="0" fontId="5" fillId="0" borderId="0" applyProtection="0"/>
    <xf numFmtId="168" fontId="3" fillId="0" borderId="0" applyFont="0" applyFill="0" applyBorder="0" applyAlignment="0" applyProtection="0"/>
  </cellStyleXfs>
  <cellXfs count="106">
    <xf numFmtId="0" fontId="0" fillId="0" borderId="0" xfId="0"/>
    <xf numFmtId="49" fontId="2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1" fontId="2" fillId="0" borderId="1" xfId="0" applyNumberFormat="1" applyFont="1" applyBorder="1"/>
    <xf numFmtId="165" fontId="2" fillId="2" borderId="1" xfId="0" applyNumberFormat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right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67" fontId="6" fillId="0" borderId="1" xfId="0" applyNumberFormat="1" applyFont="1" applyFill="1" applyBorder="1" applyAlignment="1">
      <alignment horizontal="right" vertical="center" wrapText="1"/>
    </xf>
    <xf numFmtId="167" fontId="6" fillId="0" borderId="1" xfId="0" applyNumberFormat="1" applyFont="1" applyFill="1" applyBorder="1" applyAlignment="1">
      <alignment vertical="center" wrapText="1"/>
    </xf>
    <xf numFmtId="4" fontId="2" fillId="0" borderId="1" xfId="0" applyNumberFormat="1" applyFont="1" applyBorder="1"/>
    <xf numFmtId="4" fontId="2" fillId="0" borderId="0" xfId="0" applyNumberFormat="1" applyFont="1"/>
    <xf numFmtId="169" fontId="2" fillId="0" borderId="0" xfId="2" applyNumberFormat="1" applyFont="1" applyBorder="1" applyAlignment="1"/>
    <xf numFmtId="49" fontId="2" fillId="0" borderId="0" xfId="2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4" fontId="2" fillId="0" borderId="0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2" fontId="6" fillId="0" borderId="0" xfId="0" applyNumberFormat="1" applyFont="1"/>
    <xf numFmtId="2" fontId="6" fillId="0" borderId="0" xfId="0" applyNumberFormat="1" applyFont="1" applyFill="1"/>
    <xf numFmtId="2" fontId="6" fillId="0" borderId="0" xfId="0" applyNumberFormat="1" applyFont="1" applyAlignment="1">
      <alignment horizontal="right"/>
    </xf>
    <xf numFmtId="165" fontId="2" fillId="0" borderId="0" xfId="0" applyNumberFormat="1" applyFont="1"/>
    <xf numFmtId="4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center"/>
    </xf>
    <xf numFmtId="170" fontId="2" fillId="0" borderId="0" xfId="0" applyNumberFormat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165" fontId="2" fillId="0" borderId="0" xfId="0" applyNumberFormat="1" applyFont="1" applyBorder="1" applyAlignment="1">
      <alignment horizontal="right"/>
    </xf>
    <xf numFmtId="170" fontId="2" fillId="0" borderId="0" xfId="0" applyNumberFormat="1" applyFont="1" applyBorder="1" applyAlignment="1">
      <alignment horizontal="right"/>
    </xf>
    <xf numFmtId="0" fontId="2" fillId="0" borderId="1" xfId="0" applyNumberFormat="1" applyFont="1" applyBorder="1" applyAlignment="1"/>
    <xf numFmtId="49" fontId="2" fillId="0" borderId="1" xfId="0" applyNumberFormat="1" applyFont="1" applyBorder="1" applyAlignment="1"/>
    <xf numFmtId="4" fontId="2" fillId="0" borderId="1" xfId="0" applyNumberFormat="1" applyFont="1" applyBorder="1" applyAlignment="1">
      <alignment horizontal="right" vertical="center"/>
    </xf>
    <xf numFmtId="4" fontId="2" fillId="0" borderId="0" xfId="0" applyNumberFormat="1" applyFont="1" applyBorder="1" applyAlignment="1">
      <alignment horizontal="right" vertical="center"/>
    </xf>
    <xf numFmtId="43" fontId="2" fillId="0" borderId="0" xfId="0" applyNumberFormat="1" applyFont="1"/>
    <xf numFmtId="9" fontId="2" fillId="0" borderId="0" xfId="0" applyNumberFormat="1" applyFont="1"/>
    <xf numFmtId="2" fontId="2" fillId="0" borderId="0" xfId="0" applyNumberFormat="1" applyFont="1" applyBorder="1" applyAlignment="1">
      <alignment horizontal="center"/>
    </xf>
    <xf numFmtId="43" fontId="2" fillId="0" borderId="0" xfId="1" applyFont="1" applyBorder="1" applyAlignment="1">
      <alignment horizontal="right" vertical="center"/>
    </xf>
    <xf numFmtId="43" fontId="2" fillId="0" borderId="0" xfId="1" applyFont="1" applyBorder="1" applyAlignment="1">
      <alignment horizontal="right"/>
    </xf>
    <xf numFmtId="43" fontId="2" fillId="0" borderId="0" xfId="1" applyFont="1"/>
    <xf numFmtId="14" fontId="2" fillId="0" borderId="0" xfId="0" applyNumberFormat="1" applyFont="1" applyBorder="1"/>
    <xf numFmtId="2" fontId="2" fillId="0" borderId="0" xfId="0" applyNumberFormat="1" applyFont="1" applyBorder="1" applyAlignment="1">
      <alignment horizontal="right"/>
    </xf>
    <xf numFmtId="2" fontId="2" fillId="0" borderId="0" xfId="0" applyNumberFormat="1" applyFont="1"/>
    <xf numFmtId="0" fontId="6" fillId="0" borderId="0" xfId="0" applyFont="1"/>
    <xf numFmtId="1" fontId="2" fillId="0" borderId="0" xfId="0" applyNumberFormat="1" applyFont="1"/>
    <xf numFmtId="0" fontId="2" fillId="0" borderId="0" xfId="0" applyFont="1" applyBorder="1"/>
    <xf numFmtId="43" fontId="2" fillId="0" borderId="1" xfId="1" applyFont="1" applyBorder="1"/>
    <xf numFmtId="14" fontId="7" fillId="0" borderId="1" xfId="2" applyNumberFormat="1" applyFont="1" applyBorder="1" applyAlignment="1"/>
    <xf numFmtId="49" fontId="7" fillId="0" borderId="1" xfId="2" applyNumberFormat="1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/>
    <xf numFmtId="166" fontId="7" fillId="0" borderId="1" xfId="4" applyNumberFormat="1" applyFont="1" applyFill="1" applyBorder="1" applyAlignment="1">
      <alignment horizontal="right"/>
    </xf>
    <xf numFmtId="43" fontId="7" fillId="0" borderId="1" xfId="1" applyFont="1" applyFill="1" applyBorder="1" applyAlignment="1">
      <alignment horizontal="right"/>
    </xf>
    <xf numFmtId="4" fontId="7" fillId="0" borderId="1" xfId="4" applyNumberFormat="1" applyFont="1" applyFill="1" applyBorder="1" applyAlignment="1"/>
    <xf numFmtId="0" fontId="8" fillId="0" borderId="1" xfId="0" applyFont="1" applyFill="1" applyBorder="1" applyAlignment="1"/>
    <xf numFmtId="4" fontId="7" fillId="0" borderId="1" xfId="4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4" fontId="7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/>
    <xf numFmtId="14" fontId="6" fillId="0" borderId="0" xfId="0" applyNumberFormat="1" applyFont="1"/>
    <xf numFmtId="0" fontId="7" fillId="0" borderId="0" xfId="2" applyFont="1" applyBorder="1" applyAlignment="1"/>
    <xf numFmtId="0" fontId="2" fillId="0" borderId="0" xfId="0" applyFont="1" applyBorder="1" applyAlignment="1">
      <alignment horizontal="right"/>
    </xf>
    <xf numFmtId="0" fontId="7" fillId="0" borderId="0" xfId="2" applyFont="1" applyAlignment="1"/>
    <xf numFmtId="49" fontId="2" fillId="0" borderId="0" xfId="0" applyNumberFormat="1" applyFont="1" applyBorder="1"/>
    <xf numFmtId="49" fontId="2" fillId="0" borderId="0" xfId="0" applyNumberFormat="1" applyFont="1" applyBorder="1" applyAlignment="1">
      <alignment horizontal="right"/>
    </xf>
    <xf numFmtId="165" fontId="2" fillId="3" borderId="1" xfId="0" applyNumberFormat="1" applyFont="1" applyFill="1" applyBorder="1" applyAlignment="1">
      <alignment horizontal="center" vertical="center" wrapText="1"/>
    </xf>
    <xf numFmtId="49" fontId="2" fillId="3" borderId="1" xfId="2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/>
    </xf>
    <xf numFmtId="0" fontId="2" fillId="0" borderId="0" xfId="2" applyFont="1" applyBorder="1" applyAlignment="1">
      <alignment horizontal="center"/>
    </xf>
    <xf numFmtId="2" fontId="2" fillId="0" borderId="0" xfId="2" applyNumberFormat="1" applyFont="1" applyBorder="1" applyAlignment="1"/>
    <xf numFmtId="166" fontId="2" fillId="0" borderId="0" xfId="4" applyNumberFormat="1" applyFont="1" applyFill="1" applyBorder="1" applyAlignment="1">
      <alignment horizontal="right"/>
    </xf>
    <xf numFmtId="4" fontId="2" fillId="0" borderId="0" xfId="4" applyNumberFormat="1" applyFont="1" applyFill="1" applyBorder="1"/>
    <xf numFmtId="0" fontId="6" fillId="0" borderId="0" xfId="0" applyFont="1" applyBorder="1"/>
    <xf numFmtId="167" fontId="6" fillId="2" borderId="0" xfId="0" applyNumberFormat="1" applyFont="1" applyFill="1" applyBorder="1" applyAlignment="1">
      <alignment horizontal="right" vertical="center" wrapText="1"/>
    </xf>
    <xf numFmtId="0" fontId="6" fillId="0" borderId="0" xfId="0" applyFont="1" applyBorder="1" applyAlignment="1">
      <alignment horizontal="right"/>
    </xf>
    <xf numFmtId="165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/>
    <xf numFmtId="4" fontId="2" fillId="0" borderId="0" xfId="2" applyNumberFormat="1" applyFont="1" applyBorder="1" applyAlignment="1">
      <alignment horizontal="center"/>
    </xf>
    <xf numFmtId="1" fontId="2" fillId="3" borderId="4" xfId="2" applyNumberFormat="1" applyFont="1" applyFill="1" applyBorder="1" applyAlignment="1">
      <alignment horizontal="center"/>
    </xf>
    <xf numFmtId="1" fontId="2" fillId="3" borderId="5" xfId="2" applyNumberFormat="1" applyFont="1" applyFill="1" applyBorder="1" applyAlignment="1">
      <alignment horizontal="center"/>
    </xf>
    <xf numFmtId="1" fontId="2" fillId="3" borderId="6" xfId="2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4" fontId="7" fillId="3" borderId="7" xfId="0" applyNumberFormat="1" applyFont="1" applyFill="1" applyBorder="1" applyAlignment="1">
      <alignment horizontal="center" vertical="center"/>
    </xf>
    <xf numFmtId="14" fontId="7" fillId="3" borderId="8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4" fontId="7" fillId="3" borderId="10" xfId="0" applyNumberFormat="1" applyFont="1" applyFill="1" applyBorder="1" applyAlignment="1">
      <alignment horizontal="center" vertical="center"/>
    </xf>
    <xf numFmtId="14" fontId="7" fillId="3" borderId="11" xfId="0" applyNumberFormat="1" applyFont="1" applyFill="1" applyBorder="1" applyAlignment="1">
      <alignment horizontal="center" vertical="center"/>
    </xf>
    <xf numFmtId="14" fontId="7" fillId="3" borderId="1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left"/>
    </xf>
    <xf numFmtId="14" fontId="2" fillId="0" borderId="5" xfId="0" applyNumberFormat="1" applyFont="1" applyBorder="1" applyAlignment="1">
      <alignment horizontal="left"/>
    </xf>
    <xf numFmtId="14" fontId="2" fillId="0" borderId="6" xfId="0" applyNumberFormat="1" applyFont="1" applyBorder="1" applyAlignment="1">
      <alignment horizontal="left"/>
    </xf>
    <xf numFmtId="4" fontId="2" fillId="0" borderId="0" xfId="2" applyNumberFormat="1" applyFont="1" applyBorder="1" applyAlignment="1">
      <alignment horizontal="right"/>
    </xf>
    <xf numFmtId="4" fontId="2" fillId="0" borderId="0" xfId="2" applyNumberFormat="1" applyFont="1" applyAlignment="1">
      <alignment horizontal="right"/>
    </xf>
    <xf numFmtId="0" fontId="2" fillId="0" borderId="0" xfId="3" applyNumberFormat="1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/>
    </xf>
  </cellXfs>
  <cellStyles count="5">
    <cellStyle name="F3" xfId="3"/>
    <cellStyle name="Millares" xfId="1" builtinId="3"/>
    <cellStyle name="Millares 2" xfId="4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9"/>
  <sheetViews>
    <sheetView tabSelected="1" topLeftCell="A5" workbookViewId="0">
      <selection activeCell="E29" sqref="E29"/>
    </sheetView>
  </sheetViews>
  <sheetFormatPr baseColWidth="10" defaultRowHeight="12.75" x14ac:dyDescent="0.2"/>
  <cols>
    <col min="1" max="1" width="14.28515625" style="46" customWidth="1"/>
    <col min="2" max="2" width="15.5703125" style="46" bestFit="1" customWidth="1"/>
    <col min="3" max="3" width="46.28515625" style="46" bestFit="1" customWidth="1"/>
    <col min="4" max="4" width="13.7109375" style="46" customWidth="1"/>
    <col min="5" max="5" width="18.85546875" style="46" bestFit="1" customWidth="1"/>
    <col min="6" max="6" width="21.7109375" style="46" bestFit="1" customWidth="1"/>
    <col min="7" max="7" width="21.85546875" style="46" bestFit="1" customWidth="1"/>
    <col min="8" max="8" width="29.140625" style="46" bestFit="1" customWidth="1"/>
    <col min="9" max="9" width="41.140625" style="46" bestFit="1" customWidth="1"/>
    <col min="10" max="10" width="16.85546875" style="46" bestFit="1" customWidth="1"/>
    <col min="11" max="12" width="11.42578125" style="46"/>
    <col min="13" max="13" width="42.5703125" style="46" bestFit="1" customWidth="1"/>
    <col min="14" max="14" width="23.42578125" style="46" bestFit="1" customWidth="1"/>
    <col min="15" max="15" width="17.42578125" style="46" bestFit="1" customWidth="1"/>
    <col min="16" max="16" width="8.85546875" style="46" customWidth="1"/>
    <col min="17" max="17" width="14.42578125" style="46" bestFit="1" customWidth="1"/>
    <col min="18" max="16384" width="11.42578125" style="46"/>
  </cols>
  <sheetData>
    <row r="2" spans="1:22" ht="21" x14ac:dyDescent="0.35">
      <c r="A2" s="62"/>
      <c r="D2" s="82" t="s">
        <v>45</v>
      </c>
      <c r="E2" s="82"/>
    </row>
    <row r="3" spans="1:22" s="48" customFormat="1" x14ac:dyDescent="0.2">
      <c r="A3" s="102"/>
      <c r="B3" s="102"/>
      <c r="C3" s="63"/>
      <c r="O3" s="64"/>
      <c r="P3" s="64"/>
    </row>
    <row r="4" spans="1:22" s="2" customFormat="1" x14ac:dyDescent="0.2">
      <c r="A4" s="103" t="s">
        <v>12</v>
      </c>
      <c r="B4" s="103"/>
      <c r="C4" s="65" t="s">
        <v>13</v>
      </c>
      <c r="O4" s="3"/>
      <c r="P4" s="3"/>
    </row>
    <row r="5" spans="1:22" s="2" customFormat="1" x14ac:dyDescent="0.2">
      <c r="A5" s="102" t="s">
        <v>14</v>
      </c>
      <c r="B5" s="102"/>
      <c r="C5" s="63" t="s">
        <v>15</v>
      </c>
      <c r="D5" s="47"/>
      <c r="E5" s="13"/>
      <c r="O5" s="3"/>
      <c r="P5" s="3"/>
    </row>
    <row r="6" spans="1:22" x14ac:dyDescent="0.2">
      <c r="A6" s="17"/>
      <c r="B6" s="66"/>
      <c r="C6" s="17"/>
      <c r="D6" s="48"/>
      <c r="E6" s="48"/>
      <c r="F6" s="48"/>
      <c r="G6" s="48"/>
      <c r="H6" s="48"/>
      <c r="I6" s="66"/>
      <c r="J6" s="66"/>
      <c r="K6" s="17"/>
      <c r="L6" s="17"/>
      <c r="M6" s="48"/>
      <c r="N6" s="48"/>
      <c r="O6" s="67"/>
      <c r="P6" s="3"/>
      <c r="Q6" s="2"/>
      <c r="R6" s="2"/>
      <c r="S6" s="2"/>
      <c r="U6" s="48"/>
      <c r="V6" s="2"/>
    </row>
    <row r="7" spans="1:22" ht="18" customHeight="1" x14ac:dyDescent="0.2">
      <c r="A7" s="104"/>
      <c r="B7" s="104"/>
      <c r="C7" s="104"/>
      <c r="D7" s="104"/>
      <c r="E7" s="104"/>
      <c r="F7" s="83"/>
      <c r="G7" s="83"/>
      <c r="H7" s="83"/>
      <c r="I7" s="84" t="s">
        <v>16</v>
      </c>
      <c r="J7" s="85"/>
      <c r="K7" s="85"/>
      <c r="L7" s="86"/>
      <c r="M7" s="84" t="s">
        <v>5</v>
      </c>
      <c r="N7" s="85"/>
      <c r="O7" s="85"/>
      <c r="P7" s="85"/>
      <c r="Q7" s="86"/>
      <c r="R7" s="87" t="s">
        <v>17</v>
      </c>
      <c r="S7" s="88"/>
      <c r="T7" s="89"/>
      <c r="U7" s="48"/>
      <c r="V7" s="2"/>
    </row>
    <row r="8" spans="1:22" ht="51" x14ac:dyDescent="0.2">
      <c r="A8" s="68" t="s">
        <v>18</v>
      </c>
      <c r="B8" s="69" t="s">
        <v>19</v>
      </c>
      <c r="C8" s="68" t="s">
        <v>47</v>
      </c>
      <c r="D8" s="68" t="s">
        <v>20</v>
      </c>
      <c r="E8" s="68" t="s">
        <v>0</v>
      </c>
      <c r="F8" s="68" t="s">
        <v>44</v>
      </c>
      <c r="G8" s="68" t="s">
        <v>46</v>
      </c>
      <c r="H8" s="68" t="s">
        <v>4</v>
      </c>
      <c r="I8" s="68" t="s">
        <v>21</v>
      </c>
      <c r="J8" s="68" t="s">
        <v>1</v>
      </c>
      <c r="K8" s="68" t="s">
        <v>2</v>
      </c>
      <c r="L8" s="70" t="s">
        <v>3</v>
      </c>
      <c r="M8" s="68" t="s">
        <v>22</v>
      </c>
      <c r="N8" s="68" t="s">
        <v>23</v>
      </c>
      <c r="O8" s="68" t="s">
        <v>1</v>
      </c>
      <c r="P8" s="80" t="s">
        <v>2</v>
      </c>
      <c r="Q8" s="70" t="s">
        <v>3</v>
      </c>
      <c r="R8" s="81" t="s">
        <v>24</v>
      </c>
      <c r="S8" s="71" t="s">
        <v>25</v>
      </c>
      <c r="T8" s="70" t="s">
        <v>48</v>
      </c>
      <c r="U8" s="48"/>
      <c r="V8" s="2"/>
    </row>
    <row r="9" spans="1:22" s="2" customFormat="1" ht="15" customHeight="1" x14ac:dyDescent="0.2">
      <c r="A9" s="72">
        <v>45852</v>
      </c>
      <c r="B9" s="1" t="s">
        <v>6</v>
      </c>
      <c r="C9" s="4" t="s">
        <v>11</v>
      </c>
      <c r="D9" s="5" t="s">
        <v>26</v>
      </c>
      <c r="E9" s="6"/>
      <c r="F9" s="6"/>
      <c r="G9" s="1"/>
      <c r="H9" s="7">
        <f>+M9+O9+Q9</f>
        <v>258680.54519999999</v>
      </c>
      <c r="I9" s="8"/>
      <c r="J9" s="4"/>
      <c r="K9" s="4"/>
      <c r="L9" s="4"/>
      <c r="M9" s="4"/>
      <c r="N9" s="9"/>
      <c r="O9" s="7">
        <v>223000.47</v>
      </c>
      <c r="P9" s="10">
        <v>0.16</v>
      </c>
      <c r="Q9" s="11">
        <f>+O9*P9</f>
        <v>35680.075199999999</v>
      </c>
      <c r="R9" s="4"/>
      <c r="S9" s="4"/>
      <c r="T9" s="12">
        <f>+Q9*0.75</f>
        <v>26760.056400000001</v>
      </c>
    </row>
    <row r="10" spans="1:22" s="2" customFormat="1" ht="15" customHeight="1" x14ac:dyDescent="0.2">
      <c r="A10" s="72">
        <v>45862</v>
      </c>
      <c r="B10" s="1" t="s">
        <v>7</v>
      </c>
      <c r="C10" s="4" t="s">
        <v>27</v>
      </c>
      <c r="D10" s="5" t="s">
        <v>28</v>
      </c>
      <c r="E10" s="6"/>
      <c r="F10" s="6"/>
      <c r="G10" s="1"/>
      <c r="H10" s="7">
        <f t="shared" ref="H10:H13" si="0">+M10+O10+Q10</f>
        <v>3722.44</v>
      </c>
      <c r="I10" s="8"/>
      <c r="J10" s="4"/>
      <c r="K10" s="4"/>
      <c r="L10" s="4"/>
      <c r="M10" s="49"/>
      <c r="N10" s="6"/>
      <c r="O10" s="7">
        <v>3209</v>
      </c>
      <c r="P10" s="10">
        <v>0.16</v>
      </c>
      <c r="Q10" s="11">
        <f t="shared" ref="Q10:Q13" si="1">+O10*P10</f>
        <v>513.44000000000005</v>
      </c>
      <c r="R10" s="4"/>
      <c r="S10" s="4"/>
      <c r="T10" s="12">
        <f t="shared" ref="T10:T11" si="2">+Q10*0.75</f>
        <v>385.08000000000004</v>
      </c>
    </row>
    <row r="11" spans="1:22" s="2" customFormat="1" ht="15" customHeight="1" x14ac:dyDescent="0.2">
      <c r="A11" s="72">
        <v>45867</v>
      </c>
      <c r="B11" s="1" t="s">
        <v>8</v>
      </c>
      <c r="C11" s="4" t="s">
        <v>29</v>
      </c>
      <c r="D11" s="5" t="s">
        <v>30</v>
      </c>
      <c r="E11" s="6"/>
      <c r="F11" s="6"/>
      <c r="G11" s="1"/>
      <c r="H11" s="7">
        <f t="shared" si="0"/>
        <v>11718.5172</v>
      </c>
      <c r="I11" s="8"/>
      <c r="J11" s="4"/>
      <c r="K11" s="4"/>
      <c r="L11" s="4"/>
      <c r="M11" s="49"/>
      <c r="N11" s="6"/>
      <c r="O11" s="7">
        <v>10102.17</v>
      </c>
      <c r="P11" s="10">
        <v>0.16</v>
      </c>
      <c r="Q11" s="11">
        <f t="shared" si="1"/>
        <v>1616.3472000000002</v>
      </c>
      <c r="R11" s="4"/>
      <c r="S11" s="4"/>
      <c r="T11" s="12">
        <f t="shared" si="2"/>
        <v>1212.2604000000001</v>
      </c>
    </row>
    <row r="12" spans="1:22" s="2" customFormat="1" ht="15" customHeight="1" x14ac:dyDescent="0.2">
      <c r="A12" s="72">
        <v>45867</v>
      </c>
      <c r="B12" s="1" t="s">
        <v>9</v>
      </c>
      <c r="C12" s="4" t="s">
        <v>27</v>
      </c>
      <c r="D12" s="5" t="s">
        <v>28</v>
      </c>
      <c r="E12" s="6"/>
      <c r="F12" s="6"/>
      <c r="G12" s="1"/>
      <c r="H12" s="7">
        <f>+M12+O12+Q12</f>
        <v>14091.796</v>
      </c>
      <c r="I12" s="8"/>
      <c r="J12" s="4"/>
      <c r="K12" s="4"/>
      <c r="L12" s="4"/>
      <c r="M12" s="4"/>
      <c r="N12" s="6"/>
      <c r="O12" s="7">
        <v>12148.1</v>
      </c>
      <c r="P12" s="10">
        <v>0.16</v>
      </c>
      <c r="Q12" s="11">
        <f t="shared" si="1"/>
        <v>1943.6960000000001</v>
      </c>
      <c r="R12" s="4"/>
      <c r="S12" s="4"/>
      <c r="T12" s="12">
        <f>+Q12*0.75</f>
        <v>1457.7720000000002</v>
      </c>
    </row>
    <row r="13" spans="1:22" s="2" customFormat="1" ht="15" customHeight="1" x14ac:dyDescent="0.2">
      <c r="A13" s="72">
        <v>45839</v>
      </c>
      <c r="B13" s="1" t="s">
        <v>10</v>
      </c>
      <c r="C13" s="4" t="s">
        <v>29</v>
      </c>
      <c r="D13" s="5" t="s">
        <v>30</v>
      </c>
      <c r="E13" s="6"/>
      <c r="F13" s="6"/>
      <c r="G13" s="1"/>
      <c r="H13" s="7">
        <f t="shared" si="0"/>
        <v>3147.6019999999999</v>
      </c>
      <c r="I13" s="8"/>
      <c r="J13" s="4"/>
      <c r="K13" s="4"/>
      <c r="L13" s="4"/>
      <c r="M13" s="4"/>
      <c r="N13" s="6"/>
      <c r="O13" s="7">
        <v>2713.45</v>
      </c>
      <c r="P13" s="10">
        <v>0.16</v>
      </c>
      <c r="Q13" s="11">
        <f t="shared" si="1"/>
        <v>434.15199999999999</v>
      </c>
      <c r="R13" s="4"/>
      <c r="S13" s="4"/>
      <c r="T13" s="12">
        <f>+Q13*0.75</f>
        <v>325.61399999999998</v>
      </c>
    </row>
    <row r="14" spans="1:22" s="2" customFormat="1" x14ac:dyDescent="0.2">
      <c r="A14" s="50"/>
      <c r="B14" s="51"/>
      <c r="C14" s="52" t="s">
        <v>31</v>
      </c>
      <c r="D14" s="53"/>
      <c r="E14" s="54"/>
      <c r="F14" s="54"/>
      <c r="G14" s="54"/>
      <c r="H14" s="55">
        <f>SUM(H9:H13)</f>
        <v>291360.90039999998</v>
      </c>
      <c r="I14" s="54"/>
      <c r="J14" s="56"/>
      <c r="K14" s="57"/>
      <c r="L14" s="56">
        <f>SUM(L13:L13)</f>
        <v>0</v>
      </c>
      <c r="M14" s="56">
        <f>+M9</f>
        <v>0</v>
      </c>
      <c r="N14" s="56"/>
      <c r="O14" s="58">
        <f>SUM(O9:O13)</f>
        <v>251173.19000000003</v>
      </c>
      <c r="P14" s="59"/>
      <c r="Q14" s="56">
        <f>SUM(Q9:Q13)</f>
        <v>40187.710400000004</v>
      </c>
      <c r="R14" s="4"/>
      <c r="S14" s="4"/>
      <c r="T14" s="12">
        <f>SUM(T9:T13)</f>
        <v>30140.782800000004</v>
      </c>
    </row>
    <row r="15" spans="1:22" s="2" customFormat="1" x14ac:dyDescent="0.2">
      <c r="A15" s="14"/>
      <c r="B15" s="15"/>
      <c r="C15" s="73"/>
      <c r="D15" s="74"/>
      <c r="E15" s="75"/>
      <c r="F15" s="75"/>
      <c r="G15" s="75"/>
      <c r="H15" s="75"/>
      <c r="I15" s="75"/>
      <c r="J15" s="76"/>
      <c r="K15" s="77"/>
      <c r="L15" s="76"/>
      <c r="M15" s="76" t="s">
        <v>32</v>
      </c>
      <c r="N15" s="76"/>
      <c r="O15" s="78"/>
      <c r="P15" s="79"/>
      <c r="Q15" s="76"/>
    </row>
    <row r="16" spans="1:22" s="2" customFormat="1" x14ac:dyDescent="0.2">
      <c r="A16" s="22"/>
      <c r="B16" s="16"/>
      <c r="C16" s="17"/>
      <c r="D16" s="18"/>
      <c r="E16" s="19"/>
      <c r="F16" s="20"/>
      <c r="G16" s="21"/>
      <c r="H16" s="21"/>
      <c r="I16" s="21"/>
      <c r="J16" s="22"/>
      <c r="K16" s="22"/>
      <c r="L16" s="22"/>
      <c r="M16" s="21"/>
      <c r="N16" s="23"/>
      <c r="O16" s="78"/>
      <c r="P16" s="24"/>
      <c r="Q16" s="22"/>
    </row>
    <row r="17" spans="1:18" s="2" customFormat="1" ht="12.75" customHeight="1" x14ac:dyDescent="0.2">
      <c r="A17" s="90" t="s">
        <v>33</v>
      </c>
      <c r="B17" s="91"/>
      <c r="C17" s="92"/>
      <c r="D17" s="96" t="s">
        <v>34</v>
      </c>
      <c r="E17" s="98" t="s">
        <v>35</v>
      </c>
      <c r="F17" s="25"/>
      <c r="G17" s="26"/>
      <c r="H17" s="75"/>
      <c r="I17" s="27"/>
      <c r="J17" s="28"/>
      <c r="K17" s="29"/>
      <c r="L17" s="29"/>
      <c r="M17" s="30"/>
      <c r="N17" s="28"/>
      <c r="O17" s="31"/>
      <c r="P17" s="32"/>
      <c r="Q17" s="29"/>
    </row>
    <row r="18" spans="1:18" s="2" customFormat="1" ht="12.75" customHeight="1" x14ac:dyDescent="0.2">
      <c r="A18" s="93"/>
      <c r="B18" s="94"/>
      <c r="C18" s="95"/>
      <c r="D18" s="97"/>
      <c r="E18" s="98"/>
      <c r="F18" s="25"/>
      <c r="G18" s="26"/>
      <c r="H18" s="75"/>
      <c r="I18" s="27"/>
      <c r="J18" s="28"/>
      <c r="K18" s="29"/>
      <c r="L18" s="30"/>
      <c r="M18" s="28"/>
      <c r="N18" s="30"/>
      <c r="O18" s="31"/>
      <c r="P18" s="32"/>
      <c r="Q18" s="29"/>
    </row>
    <row r="19" spans="1:18" s="2" customFormat="1" x14ac:dyDescent="0.2">
      <c r="A19" s="33" t="s">
        <v>36</v>
      </c>
      <c r="B19" s="34"/>
      <c r="C19" s="33"/>
      <c r="D19" s="35"/>
      <c r="E19" s="35"/>
      <c r="F19" s="25"/>
      <c r="G19" s="26"/>
      <c r="H19" s="36"/>
      <c r="I19" s="36"/>
      <c r="J19" s="28"/>
      <c r="K19" s="29"/>
      <c r="L19" s="30"/>
      <c r="M19" s="28"/>
      <c r="N19" s="28"/>
      <c r="O19" s="31"/>
      <c r="P19" s="32"/>
      <c r="Q19" s="29"/>
      <c r="R19" s="37"/>
    </row>
    <row r="20" spans="1:18" s="2" customFormat="1" x14ac:dyDescent="0.2">
      <c r="A20" s="33" t="s">
        <v>37</v>
      </c>
      <c r="B20" s="34"/>
      <c r="C20" s="33"/>
      <c r="D20" s="35"/>
      <c r="E20" s="35"/>
      <c r="F20" s="25"/>
      <c r="G20" s="26"/>
      <c r="H20" s="36"/>
      <c r="I20" s="36"/>
      <c r="J20" s="28"/>
      <c r="K20" s="29"/>
      <c r="L20" s="30"/>
      <c r="M20" s="28"/>
      <c r="N20" s="30"/>
      <c r="O20" s="31"/>
      <c r="P20" s="32"/>
      <c r="Q20" s="29"/>
      <c r="R20" s="37"/>
    </row>
    <row r="21" spans="1:18" s="2" customFormat="1" x14ac:dyDescent="0.2">
      <c r="A21" s="33" t="s">
        <v>38</v>
      </c>
      <c r="B21" s="34"/>
      <c r="C21" s="33"/>
      <c r="D21" s="35"/>
      <c r="E21" s="35"/>
      <c r="F21" s="25"/>
      <c r="G21" s="26"/>
      <c r="H21" s="36"/>
      <c r="I21" s="36"/>
      <c r="J21" s="28"/>
      <c r="K21" s="29"/>
      <c r="L21" s="37"/>
      <c r="M21" s="30"/>
      <c r="N21" s="28"/>
      <c r="O21" s="31"/>
      <c r="P21" s="32"/>
      <c r="Q21" s="29"/>
    </row>
    <row r="22" spans="1:18" s="2" customFormat="1" x14ac:dyDescent="0.2">
      <c r="A22" s="33" t="s">
        <v>39</v>
      </c>
      <c r="B22" s="34"/>
      <c r="C22" s="33"/>
      <c r="D22" s="35"/>
      <c r="E22" s="35"/>
      <c r="F22" s="25"/>
      <c r="G22" s="26"/>
      <c r="H22" s="36"/>
      <c r="I22" s="36"/>
      <c r="J22" s="28"/>
      <c r="K22" s="29"/>
      <c r="L22" s="30"/>
      <c r="M22" s="28"/>
      <c r="N22" s="28"/>
      <c r="O22" s="31"/>
      <c r="P22" s="32"/>
      <c r="Q22" s="30"/>
      <c r="R22" s="38"/>
    </row>
    <row r="23" spans="1:18" s="2" customFormat="1" x14ac:dyDescent="0.2">
      <c r="A23" s="33" t="s">
        <v>40</v>
      </c>
      <c r="B23" s="34"/>
      <c r="C23" s="33"/>
      <c r="D23" s="35">
        <f>+O14</f>
        <v>251173.19000000003</v>
      </c>
      <c r="E23" s="35">
        <f>+Q14</f>
        <v>40187.710400000004</v>
      </c>
      <c r="F23" s="25"/>
      <c r="G23" s="26"/>
      <c r="H23" s="36"/>
      <c r="I23" s="36"/>
      <c r="J23" s="28"/>
      <c r="K23" s="29"/>
      <c r="L23" s="29"/>
      <c r="M23" s="28"/>
      <c r="N23" s="28"/>
      <c r="O23" s="31"/>
      <c r="P23" s="32"/>
      <c r="Q23" s="39"/>
      <c r="R23" s="38"/>
    </row>
    <row r="24" spans="1:18" s="2" customFormat="1" x14ac:dyDescent="0.2">
      <c r="A24" s="33" t="s">
        <v>41</v>
      </c>
      <c r="B24" s="34"/>
      <c r="C24" s="33"/>
      <c r="D24" s="35"/>
      <c r="E24" s="35"/>
      <c r="F24" s="25"/>
      <c r="G24" s="26"/>
      <c r="H24" s="36"/>
      <c r="I24" s="36"/>
      <c r="J24" s="28"/>
      <c r="K24" s="39"/>
      <c r="L24" s="39"/>
      <c r="M24" s="28"/>
      <c r="N24" s="28"/>
      <c r="O24" s="31"/>
      <c r="P24" s="32"/>
      <c r="Q24" s="29"/>
    </row>
    <row r="25" spans="1:18" s="2" customFormat="1" x14ac:dyDescent="0.2">
      <c r="A25" s="33" t="s">
        <v>42</v>
      </c>
      <c r="B25" s="34"/>
      <c r="C25" s="33"/>
      <c r="D25" s="35"/>
      <c r="E25" s="35"/>
      <c r="F25" s="25"/>
      <c r="G25" s="26"/>
      <c r="H25" s="36"/>
      <c r="I25" s="36"/>
      <c r="J25" s="28"/>
      <c r="K25" s="39"/>
      <c r="L25" s="39"/>
      <c r="M25" s="28"/>
      <c r="N25" s="28"/>
      <c r="O25" s="31"/>
      <c r="P25" s="32"/>
      <c r="Q25" s="29"/>
    </row>
    <row r="26" spans="1:18" s="2" customFormat="1" x14ac:dyDescent="0.2">
      <c r="A26" s="105" t="s">
        <v>43</v>
      </c>
      <c r="B26" s="105"/>
      <c r="C26" s="105"/>
      <c r="D26" s="60">
        <f>SUM(D19:D25)</f>
        <v>251173.19000000003</v>
      </c>
      <c r="E26" s="61">
        <f>+E23</f>
        <v>40187.710400000004</v>
      </c>
      <c r="F26" s="40">
        <f>+D26+E26</f>
        <v>291360.90040000004</v>
      </c>
      <c r="G26" s="36"/>
      <c r="H26" s="36"/>
      <c r="I26" s="36"/>
      <c r="J26" s="28"/>
      <c r="K26" s="29"/>
      <c r="L26" s="29"/>
      <c r="M26" s="28"/>
      <c r="N26" s="28"/>
      <c r="O26" s="31"/>
      <c r="P26" s="32"/>
      <c r="Q26" s="29"/>
    </row>
    <row r="27" spans="1:18" s="2" customFormat="1" x14ac:dyDescent="0.2">
      <c r="A27" s="28"/>
      <c r="B27" s="16"/>
      <c r="C27" s="28"/>
      <c r="D27" s="28"/>
      <c r="E27" s="28"/>
      <c r="F27" s="25"/>
      <c r="G27" s="26"/>
      <c r="H27" s="28"/>
      <c r="I27" s="28"/>
      <c r="J27" s="28"/>
      <c r="K27" s="29"/>
      <c r="L27" s="29"/>
      <c r="M27" s="30"/>
      <c r="N27" s="30"/>
      <c r="O27" s="41"/>
      <c r="P27" s="41"/>
      <c r="Q27" s="30"/>
      <c r="R27" s="42"/>
    </row>
    <row r="28" spans="1:18" s="2" customFormat="1" x14ac:dyDescent="0.2">
      <c r="A28" s="99" t="s">
        <v>49</v>
      </c>
      <c r="B28" s="100"/>
      <c r="C28" s="100"/>
      <c r="D28" s="101"/>
      <c r="E28" s="35">
        <f>+T14</f>
        <v>30140.782800000004</v>
      </c>
      <c r="F28" s="25"/>
      <c r="G28" s="26"/>
      <c r="H28" s="36"/>
      <c r="I28" s="36"/>
      <c r="J28" s="28"/>
      <c r="K28" s="29"/>
      <c r="L28" s="29"/>
      <c r="M28" s="28"/>
      <c r="N28" s="28"/>
      <c r="O28" s="31"/>
      <c r="P28" s="32"/>
      <c r="Q28" s="29"/>
    </row>
    <row r="29" spans="1:18" s="2" customFormat="1" x14ac:dyDescent="0.2">
      <c r="A29" s="43"/>
      <c r="B29" s="16"/>
      <c r="C29" s="28"/>
      <c r="D29" s="28"/>
      <c r="E29" s="36"/>
      <c r="F29" s="25"/>
      <c r="G29" s="26"/>
      <c r="H29" s="36"/>
      <c r="I29" s="36"/>
      <c r="J29" s="28"/>
      <c r="K29" s="29"/>
      <c r="L29" s="29"/>
      <c r="M29" s="39"/>
      <c r="N29" s="39"/>
      <c r="O29" s="44"/>
      <c r="P29" s="44"/>
      <c r="Q29" s="39"/>
      <c r="R29" s="45"/>
    </row>
  </sheetData>
  <mergeCells count="13">
    <mergeCell ref="A28:D28"/>
    <mergeCell ref="A3:B3"/>
    <mergeCell ref="A4:B4"/>
    <mergeCell ref="A5:B5"/>
    <mergeCell ref="A7:E7"/>
    <mergeCell ref="A26:C26"/>
    <mergeCell ref="F7:H7"/>
    <mergeCell ref="I7:L7"/>
    <mergeCell ref="M7:Q7"/>
    <mergeCell ref="R7:T7"/>
    <mergeCell ref="A17:C18"/>
    <mergeCell ref="D17:D18"/>
    <mergeCell ref="E17:E18"/>
  </mergeCells>
  <pageMargins left="0.7" right="0.7" top="0.75" bottom="0.75" header="0.3" footer="0.3"/>
  <pageSetup orientation="landscape" r:id="rId1"/>
  <ignoredErrors>
    <ignoredError sqref="B9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</dc:creator>
  <cp:lastModifiedBy>Evely</cp:lastModifiedBy>
  <cp:lastPrinted>2025-09-15T21:17:05Z</cp:lastPrinted>
  <dcterms:created xsi:type="dcterms:W3CDTF">2025-08-14T19:38:32Z</dcterms:created>
  <dcterms:modified xsi:type="dcterms:W3CDTF">2025-09-24T22:10:20Z</dcterms:modified>
</cp:coreProperties>
</file>